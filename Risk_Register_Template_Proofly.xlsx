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uxur\Downloads\Amanda Downloads\"/>
    </mc:Choice>
  </mc:AlternateContent>
  <xr:revisionPtr revIDLastSave="0" documentId="13_ncr:1_{65A768D9-8A7B-412E-AD52-743BAE4E50C7}" xr6:coauthVersionLast="47" xr6:coauthVersionMax="47" xr10:uidLastSave="{00000000-0000-0000-0000-000000000000}"/>
  <bookViews>
    <workbookView xWindow="-28920" yWindow="-120" windowWidth="29040" windowHeight="15720" tabRatio="500" activeTab="2" xr2:uid="{00000000-000D-0000-FFFF-FFFF00000000}"/>
  </bookViews>
  <sheets>
    <sheet name="Introduction" sheetId="1" r:id="rId1"/>
    <sheet name="Practice Scenario" sheetId="5" r:id="rId2"/>
    <sheet name="Risk Register" sheetId="3" r:id="rId3"/>
    <sheet name="Risk Rating Matrix" sheetId="2" r:id="rId4"/>
    <sheet name="Response Options" sheetId="4" r:id="rId5"/>
  </sheets>
  <definedNames>
    <definedName name="_xlnm.Print_Area" localSheetId="2">'Risk Register'!$A$1:$L$14</definedName>
    <definedName name="_xlnm.Print_Titles" localSheetId="2">'Risk Register'!$3:$4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3" l="1"/>
  <c r="F7" i="3"/>
  <c r="F5" i="3"/>
  <c r="F20" i="3"/>
  <c r="F19" i="3"/>
  <c r="F18" i="3"/>
  <c r="F17" i="3"/>
  <c r="F16" i="3"/>
  <c r="F15" i="3"/>
  <c r="F14" i="3"/>
  <c r="F13" i="3"/>
  <c r="F12" i="3"/>
  <c r="F11" i="3"/>
  <c r="F10" i="3"/>
  <c r="F8" i="3"/>
  <c r="F6" i="3"/>
</calcChain>
</file>

<file path=xl/sharedStrings.xml><?xml version="1.0" encoding="utf-8"?>
<sst xmlns="http://schemas.openxmlformats.org/spreadsheetml/2006/main" count="198" uniqueCount="141">
  <si>
    <t>NIST-Aligned Risk Register Template</t>
  </si>
  <si>
    <t>What is a Risk Register?</t>
  </si>
  <si>
    <t>A risk register is a structured record of identified organizational risks, their potential impacts on systems or data, their likelihood, current controls, and planned treatments. It aligns with NIST 800-30 guidance for risk assessment and follows industry-standard practices for risk management.</t>
  </si>
  <si>
    <t>Who is responsible for the Risk Register?</t>
  </si>
  <si>
    <t>The GRC team creates and maintains the risk register. Risk Owners are responsible for providing updates on their assigned risks, including control effectiveness and mitigation progress. The register should be reviewed at least quarterly.</t>
  </si>
  <si>
    <t>How to use this template:</t>
  </si>
  <si>
    <t>How to use this for your GRC portfolio:</t>
  </si>
  <si>
    <t>Risk Rating Matrix</t>
  </si>
  <si>
    <t>This matrix shows how Impact and Likelihood combine to determine the Risk Score</t>
  </si>
  <si>
    <t>LIKELIHOOD</t>
  </si>
  <si>
    <t>IMPACT</t>
  </si>
  <si>
    <t>Low</t>
  </si>
  <si>
    <t>Medium</t>
  </si>
  <si>
    <t>High</t>
  </si>
  <si>
    <t>Yellow</t>
  </si>
  <si>
    <t>Red</t>
  </si>
  <si>
    <t>Green</t>
  </si>
  <si>
    <t>Risk Level Definitions:</t>
  </si>
  <si>
    <t>Low Risk - Monitor regularly, minimal action required</t>
  </si>
  <si>
    <t>Medium Risk - Mitigation plan recommended, review quarterly</t>
  </si>
  <si>
    <t>High Risk - Immediate action required, executive attention needed</t>
  </si>
  <si>
    <t>Risk ID</t>
  </si>
  <si>
    <t>Risk Description</t>
  </si>
  <si>
    <t>Control Effectiveness</t>
  </si>
  <si>
    <t>Impact</t>
  </si>
  <si>
    <t>Likelihood</t>
  </si>
  <si>
    <t>Risk Score</t>
  </si>
  <si>
    <t>Risk Response</t>
  </si>
  <si>
    <t>Action Items</t>
  </si>
  <si>
    <t>Risk Owner</t>
  </si>
  <si>
    <t>Target Date</t>
  </si>
  <si>
    <t>Sequential number (1, 2, 3...)</t>
  </si>
  <si>
    <t>Brief explanation in cause-effect format: "If X occurs, then Y happens"</t>
  </si>
  <si>
    <t>How effective are current controls?</t>
  </si>
  <si>
    <t>Potential impact if this risk occurs</t>
  </si>
  <si>
    <t>How likely is this risk to occur?</t>
  </si>
  <si>
    <t>Auto-calculated based on Impact × Likelihood</t>
  </si>
  <si>
    <t>Select response strategy</t>
  </si>
  <si>
    <t>Specific actions to address risk</t>
  </si>
  <si>
    <t>Person responsible for managing this risk</t>
  </si>
  <si>
    <t>Date for completion/review</t>
  </si>
  <si>
    <t>Additional context or updates</t>
  </si>
  <si>
    <t>Enhance/Mitigate</t>
  </si>
  <si>
    <t>IT Security Manager</t>
  </si>
  <si>
    <t>Accept</t>
  </si>
  <si>
    <t>Open</t>
  </si>
  <si>
    <t>Compliance Officer</t>
  </si>
  <si>
    <t>Risk Response Strategies</t>
  </si>
  <si>
    <t>Choose the appropriate strategy based on risk level and organizational priorities</t>
  </si>
  <si>
    <t>Strategy</t>
  </si>
  <si>
    <t>Definition</t>
  </si>
  <si>
    <t>When to Use</t>
  </si>
  <si>
    <t>Avoid</t>
  </si>
  <si>
    <t>Eliminate the risk entirely by changing plans or removing the risk source</t>
  </si>
  <si>
    <t>Example: Cancel a high-risk vendor contract</t>
  </si>
  <si>
    <t>Acknowledge the risk but take no action; monitor periodically</t>
  </si>
  <si>
    <t>Example: Accept low-probability weather delays</t>
  </si>
  <si>
    <t>Reduce likelihood or impact through controls, policies, or process changes</t>
  </si>
  <si>
    <t>Example: Implement access controls to reduce breach risk</t>
  </si>
  <si>
    <t>Share/Transfer</t>
  </si>
  <si>
    <t>Shift risk consequences to a third party (insurance, outsourcing, contracts)</t>
  </si>
  <si>
    <t>Example: Purchase cyber liability insurance</t>
  </si>
  <si>
    <t>Practice Scenario: TechHealth Medical Clinic</t>
  </si>
  <si>
    <t>Company Background</t>
  </si>
  <si>
    <t>Your Task</t>
  </si>
  <si>
    <t>Risk Identification Hints (refer to these if you get stuck)</t>
  </si>
  <si>
    <t>Risk Category</t>
  </si>
  <si>
    <t>Questions to Consider</t>
  </si>
  <si>
    <t>Access Control</t>
  </si>
  <si>
    <t>What happens if unauthorized staff access patient records they shouldn't see? How are admin privileges managed?</t>
  </si>
  <si>
    <t>Third-Party Risk</t>
  </si>
  <si>
    <t>What if MediCloud Solutions experiences a data breach? What controls does TechHealth have over vendor security?</t>
  </si>
  <si>
    <t>Remote Access</t>
  </si>
  <si>
    <t>What risks arise from staff using personal devices to access sensitive patient data? Are devices encrypted?</t>
  </si>
  <si>
    <t>Training &amp; Awareness</t>
  </si>
  <si>
    <t>What could happen if staff fall for phishing emails? How would untrained staff handle a suspected breach?</t>
  </si>
  <si>
    <t>Incident Response</t>
  </si>
  <si>
    <t>Does TechHealth have a plan for responding to a ransomware attack? What about breach notification requirements?</t>
  </si>
  <si>
    <t>Data Classification</t>
  </si>
  <si>
    <t>Are all staff aware of which data is PHI? What happens if patient data is accidentally emailed to wrong recipient?</t>
  </si>
  <si>
    <t>Portfolio Tip</t>
  </si>
  <si>
    <t>Free resource from GoProofly.com</t>
  </si>
  <si>
    <t>TechHealth Medical Clinic is a mid-sized healthcare provider with 3 locations serving 15,000 patients annually. The clinic recently transitioned from paper records to a cloud-based Electronic Health Records (EHR) system hosted by a third-party vendor, MediCloud Solutions.
Current Environment:
• 45 staff members (physicians, nurses, administrative staff)
• Patient data includes: medical histories, insurance information, Social Security numbers, payment card data
• Staff access EHR system remotely using personal devices (BYOD policy)
• No formal cybersecurity training program in place
• Annual HIPAA compliance audit scheduled in 90 days
• Recent media coverage of healthcare data breaches has patients asking questions about data security
• EHR system credentials shared among nurses during shift changes</t>
  </si>
  <si>
    <t>As the newly hired GRC Analyst (this is your first week), you've been asked to create a risk register identifying the top cybersecurity and compliance risks facing TechHealth. The CEO wants to understand which risks require immediate attention before the HIPAA audit.
Instructions:
1. Identify at least 4-5 distinct risks based on the scenario above
2. Document each risk in the Risk Register tab using the cause-and-effect format
3. Assess the control effectiveness (most will be "Open" given the scenario details)
4. Rate the Impact and Likelihood for each risk
5. Recommend appropriate risk response strategies
6. Prioritize which risks need immediate attention (Red) vs. can be monitored (Green/Yellow)
Tip: Look for risks related to: access controls, third-party vendors, employee training, remote access, data classification, incident response, and regulatory compliance.</t>
  </si>
  <si>
    <t>Portfolio Tip
When sharing your completed risk register on LinkedIn:
1. Write a 3-4 sentence post: "I completed a risk assessment for a healthcare organization transitioning to cloud EHR. Here are my top 3 priority risks and why..."
2. Include a screenshot of your completed register (redact company name)
3. Mention you used NIST 800-30 framework
4. Tag 2-3 GRC professionals and ask: "What would you prioritize differently?"
This shows: analytical thinking, framework knowledge, and communication skills—exactly what hiring managers look for.</t>
  </si>
  <si>
    <t>Implement MDM solution; Require device encryption; Create BYOD security policy</t>
  </si>
  <si>
    <t>[60 days before audit]</t>
  </si>
  <si>
    <t>Deploy mandatory HIPAA security awareness training; Implement phishing simulation program; Create incident reporting procedure</t>
  </si>
  <si>
    <t>[30 days]</t>
  </si>
  <si>
    <t>Complete the Practice Scenario in Tab 2, then upload your finished risk register to LinkedIn as a portfolio piece. In your post, explain your risk assessment methodology and how you prioritized risks. Tag it with #GRC #RiskManagement #CyberSecurity to increase visibility to hiring managers who are actively looking for candidates with hands-on experience.</t>
  </si>
  <si>
    <t>1. Navigate to the "Risk Register" tab to begin documenting risks
2. Each risk gets a unique Risk ID (1, 2, 3, etc.)
3. Use dropdown menus to select Impact, Likelihood, and Control Effectiveness
4. Risk Score auto-calculates based on your selections (Red/Yellow/Green)
5. Document your risk response decision and assign a Risk Owner
6. Review the Risk Rating Matrix tab to understand how scores are calculated</t>
  </si>
  <si>
    <r>
      <t>Shared EHR credentials</t>
    </r>
    <r>
      <rPr>
        <sz val="11"/>
        <color theme="1"/>
        <rFont val="Calibri"/>
        <family val="2"/>
        <charset val="1"/>
      </rPr>
      <t xml:space="preserve"> — If nurses share accounts, then untraceable access occurs, resulting in HIPAA violations/audit gaps.</t>
    </r>
  </si>
  <si>
    <t>MDM, encryption, lock; managed-device only; VPN + posture checks; BYOD policy &amp; attestation.</t>
  </si>
  <si>
    <r>
      <rPr>
        <b/>
        <sz val="11"/>
        <color theme="1"/>
        <rFont val="Calibri"/>
        <family val="2"/>
      </rPr>
      <t>Training &amp; Awareness:</t>
    </r>
    <r>
      <rPr>
        <sz val="11"/>
        <color theme="1"/>
        <rFont val="Calibri"/>
        <family val="2"/>
        <charset val="1"/>
      </rPr>
      <t xml:space="preserve"> If staff lack cybersecurity awareness training, then they may fall victim to phishing attacks leading to credential compromise and unauthorized EHR access</t>
    </r>
  </si>
  <si>
    <r>
      <rPr>
        <b/>
        <sz val="11"/>
        <color theme="1"/>
        <rFont val="Calibri"/>
        <family val="2"/>
      </rPr>
      <t>BYOD Remote Access:</t>
    </r>
    <r>
      <rPr>
        <sz val="11"/>
        <color theme="1"/>
        <rFont val="Calibri"/>
        <family val="2"/>
        <charset val="1"/>
      </rPr>
      <t xml:space="preserve"> If staff access PHI on personal devices without encryption or MDM, then patient data could be exposed if a device is lost, stolen, or compromised</t>
    </r>
  </si>
  <si>
    <r>
      <rPr>
        <b/>
        <sz val="11"/>
        <color theme="1"/>
        <rFont val="Calibri"/>
        <family val="2"/>
      </rPr>
      <t>Third-party (MediCloud) risk</t>
    </r>
    <r>
      <rPr>
        <sz val="11"/>
        <color theme="1"/>
        <rFont val="Calibri"/>
        <family val="2"/>
      </rPr>
      <t xml:space="preserve"> — If vendor is breached, then TechHealth data exposed, resulting in penalties/trust loss.</t>
    </r>
  </si>
  <si>
    <r>
      <rPr>
        <b/>
        <sz val="11"/>
        <color theme="1"/>
        <rFont val="Calibri"/>
        <family val="2"/>
      </rPr>
      <t xml:space="preserve">Incident response gaps </t>
    </r>
    <r>
      <rPr>
        <sz val="11"/>
        <color theme="1"/>
        <rFont val="Calibri"/>
        <family val="2"/>
        <charset val="1"/>
      </rPr>
      <t>— If no practiced plan, then delayed containment/notice, resulting in higher impact/non-compliance.</t>
    </r>
  </si>
  <si>
    <r>
      <rPr>
        <b/>
        <sz val="11"/>
        <color theme="1"/>
        <rFont val="Calibri"/>
        <family val="2"/>
      </rPr>
      <t xml:space="preserve">Data classification / minimum necessary </t>
    </r>
    <r>
      <rPr>
        <sz val="11"/>
        <color theme="1"/>
        <rFont val="Calibri"/>
        <family val="2"/>
        <charset val="1"/>
      </rPr>
      <t>— If staff unclear on PHI, then oversharing/misdirected emails → disclosure.</t>
    </r>
  </si>
  <si>
    <r>
      <rPr>
        <b/>
        <sz val="11"/>
        <color theme="1"/>
        <rFont val="Calibri"/>
        <family val="2"/>
      </rPr>
      <t xml:space="preserve">Logging &amp; auditability </t>
    </r>
    <r>
      <rPr>
        <sz val="11"/>
        <color theme="1"/>
        <rFont val="Calibri"/>
        <family val="2"/>
        <charset val="1"/>
      </rPr>
      <t>— If logs incomplete, investigations/audit evidence fail → findings/CAPs</t>
    </r>
  </si>
  <si>
    <r>
      <t>Patient trust &amp; communications</t>
    </r>
    <r>
      <rPr>
        <sz val="11"/>
        <color theme="1"/>
        <rFont val="Calibri"/>
        <family val="2"/>
        <charset val="1"/>
      </rPr>
      <t xml:space="preserve"> — If concerns go unanswered, complaints/churn rise → reputational damage.</t>
    </r>
  </si>
  <si>
    <r>
      <rPr>
        <b/>
        <sz val="11"/>
        <color theme="1"/>
        <rFont val="Calibri"/>
        <family val="2"/>
      </rPr>
      <t>Backups &amp; ransomware resilience</t>
    </r>
    <r>
      <rPr>
        <sz val="11"/>
        <color theme="1"/>
        <rFont val="Calibri"/>
        <family val="2"/>
        <charset val="1"/>
      </rPr>
      <t xml:space="preserve"> — If backups not isolated/tested, ransomware hits backups → downtime/data loss.</t>
    </r>
  </si>
  <si>
    <r>
      <rPr>
        <b/>
        <sz val="11"/>
        <color theme="1"/>
        <rFont val="Calibri"/>
        <family val="2"/>
      </rPr>
      <t xml:space="preserve">Payment card handling (PCI DSS) </t>
    </r>
    <r>
      <rPr>
        <sz val="11"/>
        <color theme="1"/>
        <rFont val="Calibri"/>
        <family val="2"/>
        <charset val="1"/>
      </rPr>
      <t>— If clinic systems store card data, scope/risk increase → fines.</t>
    </r>
  </si>
  <si>
    <t xml:space="preserve">IT Security Manager &amp; Nursing Lead </t>
  </si>
  <si>
    <t>HIPAA requires individual user IDs and usable audit trails. Sharing logins makes it impossible to prove who looked at a patient’s record and will almost certainly lead to an audit finding.</t>
  </si>
  <si>
    <t>Per HIPAA, you must have a signed BAA and oversight of the vendor’s safeguards. If the vendor leaks PHI, the clinic still has to notify patients and regulators. No BAA = non-compliance.</t>
  </si>
  <si>
    <t>Confirm Business Associate Agreement (BAA); complete vendor risk review (independent audit reports, penetration test, incident Service Level Agreements); require MFA; add 72-hour incident notice</t>
  </si>
  <si>
    <t>Vendor Risk Lead &amp; Legal Counsel</t>
  </si>
  <si>
    <t>Create and test an Incident Response Plan; define roles and on-call rotation; joint playbooks with MediCloud; run a tabletop (ransomware + misdirected email).</t>
  </si>
  <si>
    <t xml:space="preserve">GRC and Operations </t>
  </si>
  <si>
    <t>[60 days]</t>
  </si>
  <si>
    <t>HIPAA requires having and following security-incident procedures and sending timely breach notices (no later than 60 days). Delays can lead to fines.</t>
  </si>
  <si>
    <t>Publish a clear data-classification policy; label PHI in systems; Data Loss Prevention (DLP) rules for Social Security numbers and clinical terms; require email encryption; block auto-forwarding.</t>
  </si>
  <si>
    <t>HIPAA expects you to share only what is needed. Sending PHI to the wrong person or sharing more than necessary is an unauthorized disclosure and may require patient notification.</t>
  </si>
  <si>
    <t>Turn on immutable audit logs in the EHR; forward to a Security Information and Event Management (SIEM) tool; keep logs accessible; weekly reviews; alert on unusual access.</t>
  </si>
  <si>
    <t xml:space="preserve">IT Security Manager </t>
  </si>
  <si>
    <t>HIPAA requires monitoring system activity. If you cannot show who accessed what and when, you cannot demonstrate compliance during an audit.</t>
  </si>
  <si>
    <t>HIPAA expects working backups and disaster-recovery plans. If ransomware hits and you cannot recover, patient care suffers and the event will likely be treated as a breach unless you can show low ris</t>
  </si>
  <si>
    <t xml:space="preserve">IT Operations Manager </t>
  </si>
  <si>
    <t>“3-2-1” backups with one offline/immutable copy; daily backup checks; monthly restore tests; define recovery time and recovery point targets</t>
  </si>
  <si>
    <t>Outsource payments to a validated processor; use tokenization; network-segment payment devices; complete the right Self-Assessment Questionnaire; quarterly scans if needed</t>
  </si>
  <si>
    <t>Revenue Cycle Lead &amp; IT Network Lead</t>
  </si>
  <si>
    <r>
      <rPr>
        <b/>
        <sz val="11"/>
        <color rgb="FFFF0000"/>
        <rFont val="Calibri"/>
        <family val="2"/>
      </rPr>
      <t>Not a direct HIPAA requirement,</t>
    </r>
    <r>
      <rPr>
        <sz val="11"/>
        <color theme="1"/>
        <rFont val="Calibri"/>
        <family val="2"/>
        <charset val="1"/>
      </rPr>
      <t xml:space="preserve"> but separating card data from health data reduces the chance that PHI is swept up in a payment-system incident and makes HIPAA compliance easier to prove.</t>
    </r>
  </si>
  <si>
    <t xml:space="preserve">Publish a plain-English privacy and security FAQ or SBAR; add a portal banner about new protections (MFA, device checks); train front desk on approved talking points etc.  </t>
  </si>
  <si>
    <t>Communications Manager &amp; Compliance Officer</t>
  </si>
  <si>
    <t>Clear communication supports the required Notice of Privacy Practices and prepares the team to deliver accurate breach notices if ever needed.</t>
  </si>
  <si>
    <t xml:space="preserve">NIST Requirement </t>
  </si>
  <si>
    <t>Additional context or updates per NIST 800-53 Rev. 5  framework</t>
  </si>
  <si>
    <t>Information System Backup (CP-9); System Recovery (CP-10); Contingency Plan (CP-2); Configuration Management, Least Functionality (CM-7).</t>
  </si>
  <si>
    <t>Boundary Protection and Segmentation (SC-7); Information Flow Enforcement (AC-4); External System Services (SA-9); System Interconnections (CA-3).</t>
  </si>
  <si>
    <t>Transparency (TR-1, privacy control family); Security and Privacy Training (AT-2); Planning, Rules of Behavior (PL-4).</t>
  </si>
  <si>
    <t>Event Logging (AU-2, AU-12); Audit Review, Analysis, and Reporting (AU-6); Time Stamps (AU-8); Security Monitoring (SI-4).</t>
  </si>
  <si>
    <t>Security Categorization (RA-2); System and Communications Protection, Information Flow Enforcement (AC-4 / SC-7); Least Privilege (AC-6); Planning, Security and Privacy Plans (PL-2).</t>
  </si>
  <si>
    <t>HIPAA Requirment/Impact</t>
  </si>
  <si>
    <t>Incident Response Policy and Procedures (IR-1); Incident Handling (IR-4); Incident Reporting (IR-6); Contingency Planning (CP-2).</t>
  </si>
  <si>
    <t>External System Services (SA-9); Supply Chain Risk Management (SR-3, SR-5); System Interconnections (CA-3); Planning, Rules for External Parties (PL-8).</t>
  </si>
  <si>
    <t>Access Control, Account Management (AC-2); Identification and Authentication, Multifactor (IA-2, IA-2(1)); Audit Logging (AU-2); Audit Review (AU-6); Least Privilege (AC-6</t>
  </si>
  <si>
    <t>Security Awareness and Training (AT-2); Role-Based Training (AT-3); Incident Reporting (IR-6).</t>
  </si>
  <si>
    <t>Remote Access (AC-17); Mobile Device Access (AC-19); Identification and Authentication (IA-2); Cryptographic Protection (SC-12/SC-13); Boundary Protection (SC-7).</t>
  </si>
  <si>
    <t>Critical for HIPAA compliance. Affects 45 staff members accessing PHI remotely. Controls reduce the chance and blast radius of device loss/theft and man-in-the-middle attacks; big reduction in confidentiality risk.</t>
  </si>
  <si>
    <t>HIPAA requires documented security training. High priority given recent healthcare phishing campaigns. Training lowers likelihood of social-engineering success and speeds reporting, reducing overall risk exposure.</t>
  </si>
  <si>
    <t>Risk Register -Amanda Onumah 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</si>
</sst>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font>
    <font>
      <b/>
      <sz val="16"/>
      <color rgb="FF1F4E78"/>
      <name val="Cambria"/>
      <charset val="1"/>
    </font>
    <font>
      <i/>
      <sz val="10"/>
      <color rgb="FF666666"/>
      <name val="Cambria"/>
      <charset val="1"/>
    </font>
    <font>
      <b/>
      <sz val="12"/>
      <color rgb="FF1F4E78"/>
      <name val="Cambria"/>
      <charset val="1"/>
    </font>
    <font>
      <b/>
      <sz val="14"/>
      <color rgb="FF1F4E78"/>
      <name val="Cambria"/>
      <charset val="1"/>
    </font>
    <font>
      <i/>
      <sz val="10"/>
      <name val="Cambria"/>
      <charset val="1"/>
    </font>
    <font>
      <b/>
      <sz val="11"/>
      <name val="Cambria"/>
      <charset val="1"/>
    </font>
    <font>
      <b/>
      <sz val="11"/>
      <color rgb="FFFFFFFF"/>
      <name val="Cambria"/>
      <charset val="1"/>
    </font>
    <font>
      <i/>
      <sz val="9"/>
      <color rgb="FF666666"/>
      <name val="Cambria"/>
      <charset val="1"/>
    </font>
    <font>
      <b/>
      <sz val="12"/>
      <color rgb="FF1F4E78"/>
      <name val="Calibri"/>
    </font>
    <font>
      <b/>
      <sz val="14"/>
      <color rgb="FF1F4E78"/>
      <name val="Calibri"/>
    </font>
    <font>
      <b/>
      <sz val="10"/>
      <name val="Calibri"/>
    </font>
    <font>
      <b/>
      <sz val="11"/>
      <color rgb="FFFFFFFF"/>
      <name val="Calibri"/>
    </font>
    <font>
      <b/>
      <sz val="11"/>
      <color theme="1"/>
      <name val="Calibri"/>
      <family val="2"/>
      <charset val="1"/>
    </font>
    <font>
      <b/>
      <sz val="11"/>
      <color theme="1"/>
      <name val="Calibri"/>
      <family val="2"/>
    </font>
    <font>
      <sz val="11"/>
      <color theme="1"/>
      <name val="Calibri"/>
      <family val="2"/>
    </font>
    <font>
      <b/>
      <sz val="11"/>
      <color rgb="FFFF0000"/>
      <name val="Calibri"/>
      <family val="2"/>
    </font>
    <font>
      <b/>
      <sz val="11"/>
      <color rgb="FFFFFFFF"/>
      <name val="Cambria"/>
      <family val="1"/>
    </font>
    <font>
      <i/>
      <sz val="9"/>
      <color rgb="FF666666"/>
      <name val="Cambria"/>
      <family val="1"/>
    </font>
  </fonts>
  <fills count="9">
    <fill>
      <patternFill patternType="none"/>
    </fill>
    <fill>
      <patternFill patternType="gray125"/>
    </fill>
    <fill>
      <patternFill patternType="solid">
        <fgColor rgb="FFFFEB9C"/>
        <bgColor rgb="FFFFFFCC"/>
      </patternFill>
    </fill>
    <fill>
      <patternFill patternType="solid">
        <fgColor rgb="FFFFC7CE"/>
        <bgColor rgb="FFFFEB9C"/>
      </patternFill>
    </fill>
    <fill>
      <patternFill patternType="solid">
        <fgColor rgb="FFC6EFCE"/>
        <bgColor rgb="FFCCFFFF"/>
      </patternFill>
    </fill>
    <fill>
      <patternFill patternType="solid">
        <fgColor rgb="FF4472C4"/>
        <bgColor rgb="FF666666"/>
      </patternFill>
    </fill>
    <fill>
      <patternFill patternType="solid">
        <fgColor rgb="FFFFF2CC"/>
        <bgColor rgb="FFFFF2CC"/>
      </patternFill>
    </fill>
    <fill>
      <patternFill patternType="solid">
        <fgColor rgb="FFE7E6E6"/>
        <bgColor rgb="FFE7E6E6"/>
      </patternFill>
    </fill>
    <fill>
      <patternFill patternType="solid">
        <fgColor rgb="FF4472C4"/>
        <bgColor rgb="FF4472C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3" fillId="0" borderId="0" xfId="0" applyFont="1"/>
    <xf numFmtId="0" fontId="0" fillId="0" borderId="0" xfId="0" applyAlignment="1">
      <alignment wrapText="1"/>
    </xf>
    <xf numFmtId="0" fontId="6" fillId="0" borderId="0" xfId="0" applyFont="1"/>
    <xf numFmtId="0" fontId="7" fillId="5" borderId="0" xfId="0" applyFont="1" applyFill="1" applyAlignment="1">
      <alignment horizontal="center"/>
    </xf>
    <xf numFmtId="0" fontId="9" fillId="0" borderId="0" xfId="0" applyFont="1"/>
    <xf numFmtId="0" fontId="7" fillId="5" borderId="1" xfId="0" applyFont="1" applyFill="1" applyBorder="1" applyAlignment="1">
      <alignment horizontal="center" vertical="center" wrapText="1"/>
    </xf>
    <xf numFmtId="0" fontId="8" fillId="0" borderId="1" xfId="0" applyFont="1" applyBorder="1" applyAlignment="1">
      <alignment vertical="top" wrapText="1"/>
    </xf>
    <xf numFmtId="0" fontId="0" fillId="0" borderId="1" xfId="0" applyBorder="1"/>
    <xf numFmtId="0" fontId="0" fillId="0" borderId="1" xfId="0" applyBorder="1" applyAlignment="1">
      <alignment wrapText="1"/>
    </xf>
    <xf numFmtId="0" fontId="6" fillId="0" borderId="1" xfId="0" applyFont="1" applyBorder="1"/>
    <xf numFmtId="0" fontId="11" fillId="7" borderId="1" xfId="0" applyFont="1" applyFill="1" applyBorder="1"/>
    <xf numFmtId="0" fontId="11" fillId="0" borderId="1" xfId="0" applyFont="1" applyBorder="1"/>
    <xf numFmtId="0" fontId="6" fillId="0" borderId="1" xfId="0" applyFont="1" applyBorder="1" applyAlignment="1">
      <alignment horizontal="center"/>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0" borderId="1" xfId="0" applyFont="1" applyBorder="1" applyAlignment="1">
      <alignment horizontal="center" vertical="center"/>
    </xf>
    <xf numFmtId="0" fontId="6" fillId="4" borderId="1" xfId="0" applyFont="1" applyFill="1" applyBorder="1"/>
    <xf numFmtId="0" fontId="6" fillId="2" borderId="1" xfId="0" applyFont="1" applyFill="1" applyBorder="1"/>
    <xf numFmtId="0" fontId="6" fillId="3" borderId="1" xfId="0" applyFont="1" applyFill="1" applyBorder="1"/>
    <xf numFmtId="0" fontId="0" fillId="0" borderId="0" xfId="0" applyAlignment="1">
      <alignment vertical="top" wrapText="1"/>
    </xf>
    <xf numFmtId="0" fontId="0" fillId="0" borderId="1" xfId="0" applyBorder="1" applyAlignment="1">
      <alignment vertical="top" wrapText="1"/>
    </xf>
    <xf numFmtId="0" fontId="0" fillId="0" borderId="0" xfId="0" applyAlignment="1">
      <alignment wrapText="1"/>
    </xf>
    <xf numFmtId="0" fontId="0" fillId="0" borderId="0" xfId="0"/>
    <xf numFmtId="0" fontId="1" fillId="0" borderId="0" xfId="0" applyFont="1"/>
    <xf numFmtId="0" fontId="2" fillId="0" borderId="0" xfId="0" applyFont="1"/>
    <xf numFmtId="0" fontId="0" fillId="0" borderId="0" xfId="0" applyAlignment="1">
      <alignment vertical="top" wrapText="1"/>
    </xf>
    <xf numFmtId="0" fontId="0" fillId="0" borderId="1" xfId="0" applyBorder="1" applyAlignment="1">
      <alignment vertical="top" wrapText="1"/>
    </xf>
    <xf numFmtId="0" fontId="0" fillId="0" borderId="1" xfId="0" applyBorder="1"/>
    <xf numFmtId="0" fontId="11" fillId="7" borderId="1" xfId="0" applyFont="1" applyFill="1" applyBorder="1"/>
    <xf numFmtId="0" fontId="10" fillId="0" borderId="0" xfId="0" applyFont="1"/>
    <xf numFmtId="0" fontId="12" fillId="8" borderId="0" xfId="0" applyFont="1" applyFill="1" applyAlignment="1">
      <alignment horizontal="center"/>
    </xf>
    <xf numFmtId="0" fontId="0" fillId="6" borderId="0" xfId="0" applyFill="1" applyAlignment="1">
      <alignment vertical="top" wrapText="1"/>
    </xf>
    <xf numFmtId="0" fontId="4" fillId="0" borderId="0" xfId="0" applyFont="1"/>
    <xf numFmtId="0" fontId="0" fillId="0" borderId="1" xfId="0" applyBorder="1" applyAlignment="1">
      <alignment wrapText="1"/>
    </xf>
    <xf numFmtId="0" fontId="6" fillId="0" borderId="1" xfId="0" applyFont="1" applyBorder="1" applyAlignment="1">
      <alignment horizontal="center"/>
    </xf>
    <xf numFmtId="0" fontId="6" fillId="0" borderId="1" xfId="0" applyFont="1" applyBorder="1" applyAlignment="1">
      <alignment horizontal="center" vertical="center" textRotation="90"/>
    </xf>
    <xf numFmtId="0" fontId="5" fillId="0" borderId="0" xfId="0" applyFont="1"/>
    <xf numFmtId="0" fontId="13" fillId="0" borderId="0" xfId="0" applyFont="1" applyAlignment="1">
      <alignment wrapText="1"/>
    </xf>
    <xf numFmtId="0" fontId="0" fillId="0" borderId="1" xfId="0" applyBorder="1" applyAlignment="1">
      <alignment horizontal="left" vertical="top" wrapText="1"/>
    </xf>
    <xf numFmtId="0" fontId="15" fillId="0" borderId="1" xfId="0" applyFont="1" applyBorder="1" applyAlignment="1">
      <alignment horizontal="left" vertical="top" wrapText="1"/>
    </xf>
    <xf numFmtId="0" fontId="15" fillId="0" borderId="1" xfId="0" applyFont="1" applyBorder="1" applyAlignment="1">
      <alignment wrapText="1"/>
    </xf>
    <xf numFmtId="0" fontId="15" fillId="0" borderId="1" xfId="0" applyFont="1" applyBorder="1" applyAlignment="1">
      <alignment vertical="top" wrapText="1"/>
    </xf>
    <xf numFmtId="0" fontId="0" fillId="0" borderId="1" xfId="0" applyBorder="1" applyAlignment="1">
      <alignment vertical="top"/>
    </xf>
    <xf numFmtId="0" fontId="0" fillId="0" borderId="1" xfId="0" applyBorder="1" applyAlignment="1">
      <alignment vertical="center"/>
    </xf>
    <xf numFmtId="0" fontId="15" fillId="0" borderId="1" xfId="0" applyFont="1" applyBorder="1" applyAlignment="1">
      <alignment horizontal="left" wrapText="1"/>
    </xf>
    <xf numFmtId="0" fontId="17" fillId="5" borderId="1" xfId="0" applyFont="1" applyFill="1" applyBorder="1" applyAlignment="1">
      <alignment horizontal="center" vertical="center" wrapText="1"/>
    </xf>
    <xf numFmtId="0" fontId="18" fillId="0" borderId="1" xfId="0" applyFont="1" applyBorder="1" applyAlignment="1">
      <alignment vertical="top" wrapText="1"/>
    </xf>
    <xf numFmtId="0" fontId="13" fillId="0" borderId="1" xfId="0" applyFont="1" applyBorder="1" applyAlignment="1">
      <alignment horizontal="left" wrapText="1"/>
    </xf>
  </cellXfs>
  <cellStyles count="1">
    <cellStyle name="Normal" xfId="0" builtinId="0"/>
  </cellStyles>
  <dxfs count="3">
    <dxf>
      <font>
        <b/>
      </font>
      <fill>
        <patternFill>
          <bgColor rgb="FFC6EFCE"/>
        </patternFill>
      </fill>
    </dxf>
    <dxf>
      <font>
        <b/>
      </font>
      <fill>
        <patternFill>
          <bgColor rgb="FFFFEB9C"/>
        </patternFill>
      </fill>
    </dxf>
    <dxf>
      <font>
        <b/>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4472C4"/>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zoomScaleNormal="100" workbookViewId="0">
      <selection activeCell="A11" sqref="A11:C11"/>
    </sheetView>
  </sheetViews>
  <sheetFormatPr defaultColWidth="8.5703125" defaultRowHeight="15" x14ac:dyDescent="0.25"/>
  <cols>
    <col min="1" max="1" width="80" customWidth="1"/>
    <col min="2" max="3" width="15" customWidth="1"/>
  </cols>
  <sheetData>
    <row r="1" spans="1:3" ht="19.7" customHeight="1" x14ac:dyDescent="0.3">
      <c r="A1" s="25" t="s">
        <v>0</v>
      </c>
      <c r="B1" s="24"/>
      <c r="C1" s="24"/>
    </row>
    <row r="2" spans="1:3" ht="15" customHeight="1" x14ac:dyDescent="0.25">
      <c r="A2" s="26" t="s">
        <v>81</v>
      </c>
      <c r="B2" s="24"/>
      <c r="C2" s="24"/>
    </row>
    <row r="4" spans="1:3" ht="15" customHeight="1" x14ac:dyDescent="0.25">
      <c r="A4" s="1" t="s">
        <v>1</v>
      </c>
    </row>
    <row r="5" spans="1:3" ht="49.5" customHeight="1" x14ac:dyDescent="0.25">
      <c r="A5" s="23" t="s">
        <v>2</v>
      </c>
      <c r="B5" s="24"/>
      <c r="C5" s="24"/>
    </row>
    <row r="7" spans="1:3" ht="15" customHeight="1" x14ac:dyDescent="0.25">
      <c r="A7" s="1" t="s">
        <v>3</v>
      </c>
    </row>
    <row r="8" spans="1:3" ht="49.5" customHeight="1" x14ac:dyDescent="0.25">
      <c r="A8" s="23" t="s">
        <v>4</v>
      </c>
      <c r="B8" s="24"/>
      <c r="C8" s="24"/>
    </row>
    <row r="10" spans="1:3" ht="15" customHeight="1" x14ac:dyDescent="0.25">
      <c r="A10" s="1" t="s">
        <v>5</v>
      </c>
    </row>
    <row r="11" spans="1:3" ht="90" customHeight="1" x14ac:dyDescent="0.25">
      <c r="A11" s="23" t="s">
        <v>90</v>
      </c>
      <c r="B11" s="24"/>
      <c r="C11" s="24"/>
    </row>
    <row r="13" spans="1:3" ht="15.75" x14ac:dyDescent="0.25">
      <c r="A13" s="5" t="s">
        <v>6</v>
      </c>
    </row>
    <row r="14" spans="1:3" ht="75" customHeight="1" x14ac:dyDescent="0.25">
      <c r="A14" s="23" t="s">
        <v>89</v>
      </c>
      <c r="B14" s="24"/>
      <c r="C14" s="24"/>
    </row>
  </sheetData>
  <mergeCells count="6">
    <mergeCell ref="A11:C11"/>
    <mergeCell ref="A1:C1"/>
    <mergeCell ref="A5:C5"/>
    <mergeCell ref="A8:C8"/>
    <mergeCell ref="A14:C14"/>
    <mergeCell ref="A2:C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9"/>
  <sheetViews>
    <sheetView zoomScale="120" zoomScaleNormal="120" workbookViewId="0">
      <selection activeCell="G4" sqref="G4"/>
    </sheetView>
  </sheetViews>
  <sheetFormatPr defaultRowHeight="15" x14ac:dyDescent="0.25"/>
  <cols>
    <col min="1" max="1" width="25" customWidth="1"/>
    <col min="2" max="2" width="60" customWidth="1"/>
    <col min="3" max="4" width="15" customWidth="1"/>
  </cols>
  <sheetData>
    <row r="1" spans="1:4" ht="18.75" x14ac:dyDescent="0.3">
      <c r="A1" s="31" t="s">
        <v>62</v>
      </c>
      <c r="B1" s="24"/>
      <c r="C1" s="24"/>
      <c r="D1" s="24"/>
    </row>
    <row r="3" spans="1:4" ht="15.75" x14ac:dyDescent="0.25">
      <c r="A3" s="5" t="s">
        <v>63</v>
      </c>
    </row>
    <row r="4" spans="1:4" ht="212.45" customHeight="1" x14ac:dyDescent="0.25">
      <c r="A4" s="33" t="s">
        <v>82</v>
      </c>
      <c r="B4" s="24"/>
      <c r="C4" s="24"/>
      <c r="D4" s="24"/>
    </row>
    <row r="6" spans="1:4" ht="15.75" x14ac:dyDescent="0.25">
      <c r="A6" s="5" t="s">
        <v>64</v>
      </c>
    </row>
    <row r="7" spans="1:4" ht="180" customHeight="1" x14ac:dyDescent="0.25">
      <c r="A7" s="27" t="s">
        <v>83</v>
      </c>
      <c r="B7" s="24"/>
      <c r="C7" s="24"/>
      <c r="D7" s="24"/>
    </row>
    <row r="9" spans="1:4" ht="15.75" x14ac:dyDescent="0.25">
      <c r="A9" s="5" t="s">
        <v>65</v>
      </c>
    </row>
    <row r="10" spans="1:4" x14ac:dyDescent="0.25">
      <c r="A10" s="11" t="s">
        <v>66</v>
      </c>
      <c r="B10" s="30" t="s">
        <v>67</v>
      </c>
      <c r="C10" s="29"/>
      <c r="D10" s="29"/>
    </row>
    <row r="11" spans="1:4" ht="35.1" customHeight="1" x14ac:dyDescent="0.25">
      <c r="A11" s="12" t="s">
        <v>68</v>
      </c>
      <c r="B11" s="28" t="s">
        <v>69</v>
      </c>
      <c r="C11" s="29"/>
      <c r="D11" s="29"/>
    </row>
    <row r="12" spans="1:4" ht="35.1" customHeight="1" x14ac:dyDescent="0.25">
      <c r="A12" s="12" t="s">
        <v>70</v>
      </c>
      <c r="B12" s="28" t="s">
        <v>71</v>
      </c>
      <c r="C12" s="29"/>
      <c r="D12" s="29"/>
    </row>
    <row r="13" spans="1:4" ht="35.1" customHeight="1" x14ac:dyDescent="0.25">
      <c r="A13" s="12" t="s">
        <v>72</v>
      </c>
      <c r="B13" s="28" t="s">
        <v>73</v>
      </c>
      <c r="C13" s="29"/>
      <c r="D13" s="29"/>
    </row>
    <row r="14" spans="1:4" ht="35.1" customHeight="1" x14ac:dyDescent="0.25">
      <c r="A14" s="12" t="s">
        <v>74</v>
      </c>
      <c r="B14" s="28" t="s">
        <v>75</v>
      </c>
      <c r="C14" s="29"/>
      <c r="D14" s="29"/>
    </row>
    <row r="15" spans="1:4" ht="35.1" customHeight="1" x14ac:dyDescent="0.25">
      <c r="A15" s="12" t="s">
        <v>76</v>
      </c>
      <c r="B15" s="28" t="s">
        <v>77</v>
      </c>
      <c r="C15" s="29"/>
      <c r="D15" s="29"/>
    </row>
    <row r="16" spans="1:4" ht="35.1" customHeight="1" x14ac:dyDescent="0.25">
      <c r="A16" s="12" t="s">
        <v>78</v>
      </c>
      <c r="B16" s="28" t="s">
        <v>79</v>
      </c>
      <c r="C16" s="29"/>
      <c r="D16" s="29"/>
    </row>
    <row r="18" spans="1:4" x14ac:dyDescent="0.25">
      <c r="A18" s="32" t="s">
        <v>80</v>
      </c>
      <c r="B18" s="24"/>
      <c r="C18" s="24"/>
      <c r="D18" s="24"/>
    </row>
    <row r="19" spans="1:4" ht="153.6" customHeight="1" x14ac:dyDescent="0.25">
      <c r="A19" s="27" t="s">
        <v>84</v>
      </c>
      <c r="B19" s="24"/>
      <c r="C19" s="24"/>
      <c r="D19" s="24"/>
    </row>
  </sheetData>
  <mergeCells count="12">
    <mergeCell ref="A19:D19"/>
    <mergeCell ref="B12:D12"/>
    <mergeCell ref="B16:D16"/>
    <mergeCell ref="B10:D10"/>
    <mergeCell ref="A1:D1"/>
    <mergeCell ref="B11:D11"/>
    <mergeCell ref="A18:D18"/>
    <mergeCell ref="B14:D14"/>
    <mergeCell ref="B15:D15"/>
    <mergeCell ref="A4:D4"/>
    <mergeCell ref="A7:D7"/>
    <mergeCell ref="B13:D1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20"/>
  <sheetViews>
    <sheetView tabSelected="1" zoomScale="90" zoomScaleNormal="90" workbookViewId="0">
      <selection activeCell="J6" sqref="J6"/>
    </sheetView>
  </sheetViews>
  <sheetFormatPr defaultColWidth="8.5703125" defaultRowHeight="15" x14ac:dyDescent="0.25"/>
  <cols>
    <col min="1" max="1" width="8" customWidth="1"/>
    <col min="2" max="2" width="45.7109375" style="2" customWidth="1"/>
    <col min="3" max="3" width="18" style="2" customWidth="1"/>
    <col min="4" max="6" width="12" style="2" customWidth="1"/>
    <col min="7" max="7" width="18" style="2" customWidth="1"/>
    <col min="8" max="8" width="43.85546875" style="2" customWidth="1"/>
    <col min="9" max="9" width="20" style="2" customWidth="1"/>
    <col min="10" max="10" width="23.7109375" customWidth="1"/>
    <col min="11" max="11" width="43.5703125" style="2" customWidth="1"/>
    <col min="12" max="12" width="37.85546875" customWidth="1"/>
  </cols>
  <sheetData>
    <row r="1" spans="1:12" ht="17.45" customHeight="1" x14ac:dyDescent="0.25">
      <c r="A1" s="34" t="s">
        <v>140</v>
      </c>
      <c r="B1" s="24"/>
      <c r="C1" s="24"/>
      <c r="D1" s="24"/>
      <c r="E1" s="24"/>
      <c r="F1" s="24"/>
      <c r="G1" s="24"/>
      <c r="H1" s="24"/>
      <c r="I1" s="24"/>
      <c r="J1" s="24"/>
      <c r="K1" s="24"/>
    </row>
    <row r="3" spans="1:12" ht="28.35" customHeight="1" x14ac:dyDescent="0.25">
      <c r="A3" s="6" t="s">
        <v>21</v>
      </c>
      <c r="B3" s="6" t="s">
        <v>22</v>
      </c>
      <c r="C3" s="6" t="s">
        <v>23</v>
      </c>
      <c r="D3" s="6" t="s">
        <v>24</v>
      </c>
      <c r="E3" s="6" t="s">
        <v>25</v>
      </c>
      <c r="F3" s="6" t="s">
        <v>26</v>
      </c>
      <c r="G3" s="6" t="s">
        <v>27</v>
      </c>
      <c r="H3" s="6" t="s">
        <v>28</v>
      </c>
      <c r="I3" s="6" t="s">
        <v>29</v>
      </c>
      <c r="J3" s="6" t="s">
        <v>30</v>
      </c>
      <c r="K3" s="47" t="s">
        <v>132</v>
      </c>
      <c r="L3" s="47" t="s">
        <v>125</v>
      </c>
    </row>
    <row r="4" spans="1:12" ht="49.5" customHeight="1" x14ac:dyDescent="0.25">
      <c r="A4" s="7" t="s">
        <v>31</v>
      </c>
      <c r="B4" s="7" t="s">
        <v>32</v>
      </c>
      <c r="C4" s="7" t="s">
        <v>33</v>
      </c>
      <c r="D4" s="7" t="s">
        <v>34</v>
      </c>
      <c r="E4" s="7" t="s">
        <v>35</v>
      </c>
      <c r="F4" s="7" t="s">
        <v>36</v>
      </c>
      <c r="G4" s="7" t="s">
        <v>37</v>
      </c>
      <c r="H4" s="7" t="s">
        <v>38</v>
      </c>
      <c r="I4" s="7" t="s">
        <v>39</v>
      </c>
      <c r="J4" s="7" t="s">
        <v>40</v>
      </c>
      <c r="K4" s="7" t="s">
        <v>41</v>
      </c>
      <c r="L4" s="48" t="s">
        <v>126</v>
      </c>
    </row>
    <row r="5" spans="1:12" ht="97.5" customHeight="1" x14ac:dyDescent="0.25">
      <c r="A5" s="8">
        <v>1</v>
      </c>
      <c r="B5" s="46" t="s">
        <v>94</v>
      </c>
      <c r="C5" s="9" t="s">
        <v>45</v>
      </c>
      <c r="D5" s="22" t="s">
        <v>13</v>
      </c>
      <c r="E5" s="22" t="s">
        <v>12</v>
      </c>
      <c r="F5" s="22" t="str">
        <f>IF(OR(AND(C5="Open",E5="High",D5="High"),AND(C5="Open",E5="High",D5="Medium"),AND(C5="Open",E5="Medium",D5="High")),IF(OR(AND(C5="Partially Effective",E5="High",D5="High")),"Red","Red"),IF(OR(AND(C5="Open",E5="High",D5="Low"),AND(C5="Open",E5="Medium",D5="Medium"),AND(C5="Open",E5="Low",D5="High"),AND(C5="Partially Effective",E5="High",D5="Medium"),AND(C5="Partially Effective",E5="Medium",D5="High")),"Yellow",IF(OR(AND(C5="Open",E5="Medium",D5="Low"),AND(C5="Open",E5="Low",D5="Low"),AND(C5="Open",E5="Low",D5="Medium"),C5="Effective",C5="Closed"),"Green","")))</f>
        <v>Red</v>
      </c>
      <c r="G5" s="22" t="s">
        <v>42</v>
      </c>
      <c r="H5" s="22" t="s">
        <v>85</v>
      </c>
      <c r="I5" s="22" t="s">
        <v>43</v>
      </c>
      <c r="J5" s="44" t="s">
        <v>86</v>
      </c>
      <c r="K5" s="22" t="s">
        <v>138</v>
      </c>
      <c r="L5" s="22" t="s">
        <v>137</v>
      </c>
    </row>
    <row r="6" spans="1:12" ht="98.25" customHeight="1" x14ac:dyDescent="0.25">
      <c r="A6" s="8">
        <v>2</v>
      </c>
      <c r="B6" s="42" t="s">
        <v>93</v>
      </c>
      <c r="C6" s="9" t="s">
        <v>45</v>
      </c>
      <c r="D6" s="22" t="s">
        <v>13</v>
      </c>
      <c r="E6" s="22" t="s">
        <v>13</v>
      </c>
      <c r="F6" s="22" t="str">
        <f t="shared" ref="F6:F20" si="0">IF(OR(AND(C6="Open",E6="High",D6="High"),AND(C6="Open",E6="High",D6="Medium"),AND(C6="Open",E6="Medium",D6="High")),IF(OR(AND(C6="Partially Effective",E6="High",D6="High")),"Red","Red"),IF(OR(AND(C6="Open",E6="High",D6="Low"),AND(C6="Open",E6="Medium",D6="Medium"),AND(C6="Open",E6="Low",D6="High"),AND(C6="Partially Effective",E6="High",D6="Medium"),AND(C6="Partially Effective",E6="Medium",D6="High")),"Yellow",IF(OR(AND(C6="Open",E6="Medium",D6="Low"),AND(C6="Open",E6="Low",D6="Low"),AND(C6="Open",E6="Low",D6="Medium"),C6="Effective",C6="Closed"),"Green","")))</f>
        <v>Red</v>
      </c>
      <c r="G6" s="22" t="s">
        <v>42</v>
      </c>
      <c r="H6" s="22" t="s">
        <v>87</v>
      </c>
      <c r="I6" s="22" t="s">
        <v>46</v>
      </c>
      <c r="J6" s="44" t="s">
        <v>88</v>
      </c>
      <c r="K6" s="22" t="s">
        <v>139</v>
      </c>
      <c r="L6" s="43" t="s">
        <v>136</v>
      </c>
    </row>
    <row r="7" spans="1:12" ht="81.75" customHeight="1" x14ac:dyDescent="0.25">
      <c r="A7" s="8">
        <v>3</v>
      </c>
      <c r="B7" s="39" t="s">
        <v>91</v>
      </c>
      <c r="C7" s="9" t="s">
        <v>45</v>
      </c>
      <c r="D7" s="22" t="s">
        <v>13</v>
      </c>
      <c r="E7" s="22" t="s">
        <v>13</v>
      </c>
      <c r="F7" s="22" t="str">
        <f t="shared" si="0"/>
        <v>Red</v>
      </c>
      <c r="G7" s="22" t="s">
        <v>42</v>
      </c>
      <c r="H7" s="22" t="s">
        <v>92</v>
      </c>
      <c r="I7" s="22" t="s">
        <v>102</v>
      </c>
      <c r="J7" s="44" t="s">
        <v>88</v>
      </c>
      <c r="K7" s="22" t="s">
        <v>103</v>
      </c>
      <c r="L7" s="22" t="s">
        <v>135</v>
      </c>
    </row>
    <row r="8" spans="1:12" ht="78.75" customHeight="1" x14ac:dyDescent="0.25">
      <c r="A8" s="8">
        <v>4</v>
      </c>
      <c r="B8" s="46" t="s">
        <v>95</v>
      </c>
      <c r="C8" s="9" t="s">
        <v>45</v>
      </c>
      <c r="D8" s="9" t="s">
        <v>13</v>
      </c>
      <c r="E8" s="9" t="s">
        <v>13</v>
      </c>
      <c r="F8" s="9" t="str">
        <f t="shared" si="0"/>
        <v>Red</v>
      </c>
      <c r="G8" s="22" t="s">
        <v>42</v>
      </c>
      <c r="H8" s="9" t="s">
        <v>105</v>
      </c>
      <c r="I8" s="22" t="s">
        <v>106</v>
      </c>
      <c r="J8" s="44" t="s">
        <v>86</v>
      </c>
      <c r="K8" s="9" t="s">
        <v>104</v>
      </c>
      <c r="L8" s="43" t="s">
        <v>134</v>
      </c>
    </row>
    <row r="9" spans="1:12" ht="81" customHeight="1" x14ac:dyDescent="0.25">
      <c r="A9" s="8">
        <v>5</v>
      </c>
      <c r="B9" s="46" t="s">
        <v>96</v>
      </c>
      <c r="C9" s="9" t="s">
        <v>45</v>
      </c>
      <c r="D9" s="9" t="s">
        <v>13</v>
      </c>
      <c r="E9" s="9" t="s">
        <v>13</v>
      </c>
      <c r="F9" s="9" t="str">
        <f>IF(OR(AND(C9="Open",E9="High",D9="High"),AND(C9="Open",E9="High",D9="Medium"),AND(C9="Open",E9="Medium",D9="High")),IF(OR(AND(C9="Partially Effective",E9="High",D9="High")),"Red","Red"),IF(OR(AND(C9="Open",E9="High",D9="Low"),AND(C9="Open",E9="Medium",D9="Medium"),AND(C9="Open",E9="Low",D9="High"),AND(C9="Partially Effective",E9="High",D9="Medium"),AND(C9="Partially Effective",E9="Medium",D9="High")),"Yellow",IF(OR(AND(C9="Open",E9="Medium",D9="Low"),AND(C9="Open",E9="Low",D9="Low"),AND(C9="Open",E9="Low",D9="Medium"),C9="Effective",C9="Closed"),"Green","")))</f>
        <v>Red</v>
      </c>
      <c r="G9" s="22" t="s">
        <v>42</v>
      </c>
      <c r="H9" s="21" t="s">
        <v>107</v>
      </c>
      <c r="I9" s="22" t="s">
        <v>108</v>
      </c>
      <c r="J9" s="44" t="s">
        <v>109</v>
      </c>
      <c r="K9" s="22" t="s">
        <v>110</v>
      </c>
      <c r="L9" s="43" t="s">
        <v>133</v>
      </c>
    </row>
    <row r="10" spans="1:12" ht="87" customHeight="1" x14ac:dyDescent="0.25">
      <c r="A10" s="8">
        <v>6</v>
      </c>
      <c r="B10" s="42" t="s">
        <v>97</v>
      </c>
      <c r="C10" s="9" t="s">
        <v>45</v>
      </c>
      <c r="D10" s="9" t="s">
        <v>12</v>
      </c>
      <c r="E10" s="9" t="s">
        <v>12</v>
      </c>
      <c r="F10" s="9" t="str">
        <f t="shared" si="0"/>
        <v>Yellow</v>
      </c>
      <c r="G10" s="9" t="s">
        <v>42</v>
      </c>
      <c r="H10" s="22" t="s">
        <v>111</v>
      </c>
      <c r="I10" s="22" t="s">
        <v>46</v>
      </c>
      <c r="J10" s="44" t="s">
        <v>88</v>
      </c>
      <c r="K10" s="22" t="s">
        <v>112</v>
      </c>
      <c r="L10" s="43" t="s">
        <v>131</v>
      </c>
    </row>
    <row r="11" spans="1:12" ht="71.25" customHeight="1" x14ac:dyDescent="0.25">
      <c r="A11" s="45">
        <v>7</v>
      </c>
      <c r="B11" s="46" t="s">
        <v>98</v>
      </c>
      <c r="C11" s="9" t="s">
        <v>45</v>
      </c>
      <c r="D11" s="9" t="s">
        <v>12</v>
      </c>
      <c r="E11" s="9" t="s">
        <v>12</v>
      </c>
      <c r="F11" s="9" t="str">
        <f t="shared" si="0"/>
        <v>Yellow</v>
      </c>
      <c r="G11" s="9" t="s">
        <v>42</v>
      </c>
      <c r="H11" s="21" t="s">
        <v>113</v>
      </c>
      <c r="I11" s="22" t="s">
        <v>114</v>
      </c>
      <c r="J11" s="44" t="s">
        <v>88</v>
      </c>
      <c r="K11" s="22" t="s">
        <v>115</v>
      </c>
      <c r="L11" s="41" t="s">
        <v>130</v>
      </c>
    </row>
    <row r="12" spans="1:12" ht="85.5" customHeight="1" x14ac:dyDescent="0.25">
      <c r="A12" s="8">
        <v>8</v>
      </c>
      <c r="B12" s="42" t="s">
        <v>100</v>
      </c>
      <c r="C12" s="9" t="s">
        <v>45</v>
      </c>
      <c r="D12" s="9" t="s">
        <v>12</v>
      </c>
      <c r="E12" s="9" t="s">
        <v>12</v>
      </c>
      <c r="F12" s="9" t="str">
        <f t="shared" si="0"/>
        <v>Yellow</v>
      </c>
      <c r="G12" s="9" t="s">
        <v>42</v>
      </c>
      <c r="H12" s="22" t="s">
        <v>118</v>
      </c>
      <c r="I12" s="22" t="s">
        <v>117</v>
      </c>
      <c r="J12" s="44" t="s">
        <v>88</v>
      </c>
      <c r="K12" s="22" t="s">
        <v>116</v>
      </c>
      <c r="L12" s="22" t="s">
        <v>127</v>
      </c>
    </row>
    <row r="13" spans="1:12" ht="83.25" customHeight="1" x14ac:dyDescent="0.25">
      <c r="A13" s="8">
        <v>9</v>
      </c>
      <c r="B13" s="42" t="s">
        <v>101</v>
      </c>
      <c r="C13" s="9" t="s">
        <v>45</v>
      </c>
      <c r="D13" s="9" t="s">
        <v>11</v>
      </c>
      <c r="E13" s="9" t="s">
        <v>11</v>
      </c>
      <c r="F13" s="9" t="str">
        <f t="shared" si="0"/>
        <v>Green</v>
      </c>
      <c r="G13" s="9" t="s">
        <v>44</v>
      </c>
      <c r="H13" s="40" t="s">
        <v>119</v>
      </c>
      <c r="I13" s="22" t="s">
        <v>120</v>
      </c>
      <c r="J13" s="44" t="s">
        <v>88</v>
      </c>
      <c r="K13" s="42" t="s">
        <v>121</v>
      </c>
      <c r="L13" s="43" t="s">
        <v>128</v>
      </c>
    </row>
    <row r="14" spans="1:12" ht="79.5" customHeight="1" x14ac:dyDescent="0.25">
      <c r="A14" s="8">
        <v>10</v>
      </c>
      <c r="B14" s="49" t="s">
        <v>99</v>
      </c>
      <c r="C14" s="9" t="s">
        <v>45</v>
      </c>
      <c r="D14" s="9" t="s">
        <v>11</v>
      </c>
      <c r="E14" s="9" t="s">
        <v>11</v>
      </c>
      <c r="F14" s="9" t="str">
        <f t="shared" si="0"/>
        <v>Green</v>
      </c>
      <c r="G14" s="9" t="s">
        <v>44</v>
      </c>
      <c r="H14" s="43" t="s">
        <v>122</v>
      </c>
      <c r="I14" s="22" t="s">
        <v>123</v>
      </c>
      <c r="J14" s="44" t="s">
        <v>88</v>
      </c>
      <c r="K14" s="22" t="s">
        <v>124</v>
      </c>
      <c r="L14" s="43" t="s">
        <v>129</v>
      </c>
    </row>
    <row r="15" spans="1:12" ht="15" customHeight="1" x14ac:dyDescent="0.25">
      <c r="F15" s="2" t="str">
        <f t="shared" si="0"/>
        <v/>
      </c>
    </row>
    <row r="16" spans="1:12" ht="15" customHeight="1" x14ac:dyDescent="0.25">
      <c r="F16" s="2" t="str">
        <f t="shared" si="0"/>
        <v/>
      </c>
    </row>
    <row r="17" spans="6:6" ht="15" customHeight="1" x14ac:dyDescent="0.25">
      <c r="F17" s="2" t="str">
        <f t="shared" si="0"/>
        <v/>
      </c>
    </row>
    <row r="18" spans="6:6" ht="15" customHeight="1" x14ac:dyDescent="0.25">
      <c r="F18" s="2" t="str">
        <f t="shared" si="0"/>
        <v/>
      </c>
    </row>
    <row r="19" spans="6:6" ht="15" customHeight="1" x14ac:dyDescent="0.25">
      <c r="F19" s="2" t="str">
        <f t="shared" si="0"/>
        <v/>
      </c>
    </row>
    <row r="20" spans="6:6" ht="15" customHeight="1" x14ac:dyDescent="0.25">
      <c r="F20" s="2" t="str">
        <f t="shared" si="0"/>
        <v/>
      </c>
    </row>
  </sheetData>
  <mergeCells count="1">
    <mergeCell ref="A1:K1"/>
  </mergeCells>
  <conditionalFormatting sqref="F5:F20">
    <cfRule type="cellIs" dxfId="2" priority="2" operator="equal">
      <formula>"Red"</formula>
    </cfRule>
    <cfRule type="cellIs" dxfId="1" priority="3" operator="equal">
      <formula>"Yellow"</formula>
    </cfRule>
    <cfRule type="cellIs" dxfId="0" priority="4" operator="equal">
      <formula>"Green"</formula>
    </cfRule>
  </conditionalFormatting>
  <dataValidations count="3">
    <dataValidation type="list" allowBlank="1" sqref="C5:C20" xr:uid="{00000000-0002-0000-0200-000000000000}">
      <formula1>"Open,Partially Effective,Effective,Closed"</formula1>
      <formula2>0</formula2>
    </dataValidation>
    <dataValidation type="list" allowBlank="1" sqref="D5:E20" xr:uid="{00000000-0002-0000-0200-000001000000}">
      <formula1>"Low,Medium,High"</formula1>
      <formula2>0</formula2>
    </dataValidation>
    <dataValidation type="list" allowBlank="1" sqref="G5:G20" xr:uid="{00000000-0002-0000-0200-000003000000}">
      <formula1>"Avoid,Accept,Enhance/Mitigate,Share/Transfer"</formula1>
      <formula2>0</formula2>
    </dataValidation>
  </dataValidations>
  <pageMargins left="0.25" right="0.25" top="0.75" bottom="0.75" header="0.3" footer="0.3"/>
  <pageSetup paperSize="9" scale="48" fitToHeight="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
  <sheetViews>
    <sheetView zoomScaleNormal="100" workbookViewId="0">
      <selection activeCell="D17" sqref="D17"/>
    </sheetView>
  </sheetViews>
  <sheetFormatPr defaultColWidth="8.5703125" defaultRowHeight="15" x14ac:dyDescent="0.25"/>
  <cols>
    <col min="1" max="1" width="12" customWidth="1"/>
    <col min="2" max="3" width="15" customWidth="1"/>
    <col min="4" max="4" width="30" customWidth="1"/>
  </cols>
  <sheetData>
    <row r="1" spans="1:4" ht="17.45" customHeight="1" x14ac:dyDescent="0.25">
      <c r="A1" s="34" t="s">
        <v>7</v>
      </c>
      <c r="B1" s="24"/>
      <c r="C1" s="24"/>
      <c r="D1" s="24"/>
    </row>
    <row r="2" spans="1:4" ht="15" customHeight="1" x14ac:dyDescent="0.25">
      <c r="A2" s="38" t="s">
        <v>8</v>
      </c>
      <c r="B2" s="24"/>
      <c r="C2" s="24"/>
      <c r="D2" s="24"/>
    </row>
    <row r="4" spans="1:4" ht="15" customHeight="1" x14ac:dyDescent="0.25">
      <c r="A4" s="8"/>
      <c r="B4" s="36" t="s">
        <v>9</v>
      </c>
      <c r="C4" s="29"/>
      <c r="D4" s="29"/>
    </row>
    <row r="5" spans="1:4" ht="15" customHeight="1" x14ac:dyDescent="0.25">
      <c r="A5" s="37" t="s">
        <v>10</v>
      </c>
      <c r="B5" s="13" t="s">
        <v>11</v>
      </c>
      <c r="C5" s="13" t="s">
        <v>12</v>
      </c>
      <c r="D5" s="13" t="s">
        <v>13</v>
      </c>
    </row>
    <row r="6" spans="1:4" ht="15" customHeight="1" x14ac:dyDescent="0.25">
      <c r="A6" s="29"/>
      <c r="B6" s="14" t="s">
        <v>14</v>
      </c>
      <c r="C6" s="15" t="s">
        <v>15</v>
      </c>
      <c r="D6" s="15" t="s">
        <v>15</v>
      </c>
    </row>
    <row r="7" spans="1:4" ht="24" customHeight="1" x14ac:dyDescent="0.25">
      <c r="A7" s="29"/>
      <c r="B7" s="16" t="s">
        <v>16</v>
      </c>
      <c r="C7" s="14" t="s">
        <v>14</v>
      </c>
      <c r="D7" s="15" t="s">
        <v>15</v>
      </c>
    </row>
    <row r="8" spans="1:4" ht="15" customHeight="1" x14ac:dyDescent="0.25">
      <c r="A8" s="17" t="s">
        <v>11</v>
      </c>
      <c r="B8" s="16" t="s">
        <v>16</v>
      </c>
      <c r="C8" s="16" t="s">
        <v>16</v>
      </c>
      <c r="D8" s="14" t="s">
        <v>14</v>
      </c>
    </row>
    <row r="11" spans="1:4" ht="15" customHeight="1" x14ac:dyDescent="0.25">
      <c r="A11" s="3" t="s">
        <v>17</v>
      </c>
    </row>
    <row r="12" spans="1:4" ht="15" customHeight="1" x14ac:dyDescent="0.25">
      <c r="B12" s="18" t="s">
        <v>16</v>
      </c>
      <c r="C12" s="35" t="s">
        <v>18</v>
      </c>
      <c r="D12" s="35"/>
    </row>
    <row r="13" spans="1:4" ht="15" customHeight="1" x14ac:dyDescent="0.25">
      <c r="B13" s="19" t="s">
        <v>14</v>
      </c>
      <c r="C13" s="35" t="s">
        <v>19</v>
      </c>
      <c r="D13" s="35"/>
    </row>
    <row r="14" spans="1:4" ht="15" customHeight="1" x14ac:dyDescent="0.25">
      <c r="B14" s="20" t="s">
        <v>15</v>
      </c>
      <c r="C14" s="35" t="s">
        <v>20</v>
      </c>
      <c r="D14" s="35"/>
    </row>
  </sheetData>
  <mergeCells count="7">
    <mergeCell ref="A1:D1"/>
    <mergeCell ref="C12:D12"/>
    <mergeCell ref="B4:D4"/>
    <mergeCell ref="C14:D14"/>
    <mergeCell ref="A5:A7"/>
    <mergeCell ref="C13:D13"/>
    <mergeCell ref="A2:D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zoomScaleNormal="100" workbookViewId="0">
      <selection activeCell="B14" sqref="B14"/>
    </sheetView>
  </sheetViews>
  <sheetFormatPr defaultColWidth="8.5703125" defaultRowHeight="15" x14ac:dyDescent="0.25"/>
  <cols>
    <col min="1" max="1" width="18" customWidth="1"/>
    <col min="2" max="2" width="45" customWidth="1"/>
    <col min="3" max="3" width="40" customWidth="1"/>
  </cols>
  <sheetData>
    <row r="1" spans="1:3" ht="17.45" customHeight="1" x14ac:dyDescent="0.25">
      <c r="A1" s="34" t="s">
        <v>47</v>
      </c>
      <c r="B1" s="24"/>
      <c r="C1" s="24"/>
    </row>
    <row r="2" spans="1:3" ht="15" customHeight="1" x14ac:dyDescent="0.25">
      <c r="A2" s="38" t="s">
        <v>48</v>
      </c>
      <c r="B2" s="24"/>
      <c r="C2" s="24"/>
    </row>
    <row r="4" spans="1:3" ht="15" customHeight="1" x14ac:dyDescent="0.25">
      <c r="A4" s="4" t="s">
        <v>49</v>
      </c>
      <c r="B4" s="4" t="s">
        <v>50</v>
      </c>
      <c r="C4" s="4" t="s">
        <v>51</v>
      </c>
    </row>
    <row r="5" spans="1:3" ht="39.75" customHeight="1" x14ac:dyDescent="0.25">
      <c r="A5" s="10" t="s">
        <v>52</v>
      </c>
      <c r="B5" s="9" t="s">
        <v>53</v>
      </c>
      <c r="C5" s="9" t="s">
        <v>54</v>
      </c>
    </row>
    <row r="6" spans="1:3" ht="39.75" customHeight="1" x14ac:dyDescent="0.25">
      <c r="A6" s="10" t="s">
        <v>44</v>
      </c>
      <c r="B6" s="9" t="s">
        <v>55</v>
      </c>
      <c r="C6" s="9" t="s">
        <v>56</v>
      </c>
    </row>
    <row r="7" spans="1:3" ht="39.75" customHeight="1" x14ac:dyDescent="0.25">
      <c r="A7" s="10" t="s">
        <v>42</v>
      </c>
      <c r="B7" s="9" t="s">
        <v>57</v>
      </c>
      <c r="C7" s="9" t="s">
        <v>58</v>
      </c>
    </row>
    <row r="8" spans="1:3" ht="39.75" customHeight="1" x14ac:dyDescent="0.25">
      <c r="A8" s="10" t="s">
        <v>59</v>
      </c>
      <c r="B8" s="9" t="s">
        <v>60</v>
      </c>
      <c r="C8" s="9" t="s">
        <v>61</v>
      </c>
    </row>
  </sheetData>
  <mergeCells count="2">
    <mergeCell ref="A1:C1"/>
    <mergeCell ref="A2:C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Introduction</vt:lpstr>
      <vt:lpstr>Practice Scenario</vt:lpstr>
      <vt:lpstr>Risk Register</vt:lpstr>
      <vt:lpstr>Risk Rating Matrix</vt:lpstr>
      <vt:lpstr>Response Options</vt:lpstr>
      <vt:lpstr>'Risk Register'!Print_Area</vt:lpstr>
      <vt:lpstr>'Risk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Onumah Collective</cp:lastModifiedBy>
  <cp:revision>0</cp:revision>
  <cp:lastPrinted>2025-12-12T21:05:00Z</cp:lastPrinted>
  <dcterms:created xsi:type="dcterms:W3CDTF">2025-12-09T15:39:23Z</dcterms:created>
  <dcterms:modified xsi:type="dcterms:W3CDTF">2025-12-12T21:11:36Z</dcterms:modified>
  <dc:language>en-US</dc:language>
</cp:coreProperties>
</file>